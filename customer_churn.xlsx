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37A68D1-C8AB-4B7F-BBC3-777F1A0154FD}" xr6:coauthVersionLast="47" xr6:coauthVersionMax="47" xr10:uidLastSave="{00000000-0000-0000-0000-000000000000}"/>
  <bookViews>
    <workbookView xWindow="-120" yWindow="-120" windowWidth="20730" windowHeight="11040" xr2:uid="{2861C2F4-6A51-42E0-BC8C-3BBF112C2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1" l="1"/>
  <c r="N2" i="1"/>
  <c r="L6" i="1"/>
  <c r="L5" i="1"/>
  <c r="L4" i="1"/>
  <c r="J3" i="1"/>
  <c r="J2" i="1"/>
  <c r="J1" i="1"/>
</calcChain>
</file>

<file path=xl/sharedStrings.xml><?xml version="1.0" encoding="utf-8"?>
<sst xmlns="http://schemas.openxmlformats.org/spreadsheetml/2006/main" count="39" uniqueCount="28">
  <si>
    <t>customer ID</t>
  </si>
  <si>
    <t>gender</t>
  </si>
  <si>
    <t>age</t>
  </si>
  <si>
    <t>monthly charge</t>
  </si>
  <si>
    <t>contract type</t>
  </si>
  <si>
    <t>churn</t>
  </si>
  <si>
    <t>C001</t>
  </si>
  <si>
    <t>C002</t>
  </si>
  <si>
    <t>C003</t>
  </si>
  <si>
    <t>C004</t>
  </si>
  <si>
    <t>C005</t>
  </si>
  <si>
    <t>male</t>
  </si>
  <si>
    <t>female</t>
  </si>
  <si>
    <t>tenure(months)</t>
  </si>
  <si>
    <t>month to month</t>
  </si>
  <si>
    <t>one year</t>
  </si>
  <si>
    <t>two year</t>
  </si>
  <si>
    <t>yes</t>
  </si>
  <si>
    <t>no</t>
  </si>
  <si>
    <t>analysis=total customer</t>
  </si>
  <si>
    <t>total churn customer</t>
  </si>
  <si>
    <t>churn rate %</t>
  </si>
  <si>
    <t>churn by contract type</t>
  </si>
  <si>
    <t>insights=</t>
  </si>
  <si>
    <t>1. Customers on month-to-month contracts have higher churn</t>
  </si>
  <si>
    <t>2.Customers with low tenure are more likely to churn</t>
  </si>
  <si>
    <t>3. Long-term contracts show better retention</t>
  </si>
  <si>
    <t>churn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</si>
</sst>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churn status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Sheet1!$N$1:$N$2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3-4EC5-8FB6-54C47CFD9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Sheet1!$L$4:$L$6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5-4FB2-9904-34C899611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461423"/>
        <c:axId val="2017460463"/>
      </c:barChart>
      <c:catAx>
        <c:axId val="2017461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60463"/>
        <c:crosses val="autoZero"/>
        <c:auto val="1"/>
        <c:lblAlgn val="ctr"/>
        <c:lblOffset val="100"/>
        <c:noMultiLvlLbl val="0"/>
      </c:catAx>
      <c:valAx>
        <c:axId val="201746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6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447675</xdr:colOff>
      <xdr:row>2</xdr:row>
      <xdr:rowOff>47626</xdr:rowOff>
    </xdr:from>
    <xdr:to>
      <xdr:col>17</xdr:col>
      <xdr:colOff>419100</xdr:colOff>
      <xdr:row>12</xdr:row>
      <xdr:rowOff>28576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305A9-53AF-B78F-977C-95AC6B599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1042987</xdr:colOff>
      <xdr:row>6</xdr:row>
      <xdr:rowOff>47625</xdr:rowOff>
    </xdr:from>
    <xdr:to>
      <xdr:col>12</xdr:col>
      <xdr:colOff>390525</xdr:colOff>
      <xdr:row>15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1FB4A2-D9B5-6F60-26DF-4C99BF11D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37B8-003A-4FF3-A1A3-B837B21735D4}">
  <dimension ref="A1:N20"/>
  <sheetViews>
    <sheetView tabSelected="1" zoomScaleNormal="100" workbookViewId="0">
      <selection activeCell="N1" sqref="N1"/>
    </sheetView>
  </sheetViews>
  <sheetFormatPr defaultRowHeight="15" x14ac:dyDescent="0.25"/>
  <cols>
    <col min="4" max="4" width="12.85546875" customWidth="1"/>
    <col min="5" max="5" width="17.28515625" customWidth="1"/>
    <col min="6" max="6" width="18.7109375" customWidth="1"/>
    <col min="9" max="9" width="23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  <c r="I1" t="s">
        <v>19</v>
      </c>
      <c r="J1">
        <f>COUNTA(A2:A6)</f>
        <v>5</v>
      </c>
      <c r="M1" t="s">
        <v>27</v>
      </c>
      <c r="N1">
        <f>COUNTIF(G:G,"Yes")</f>
        <v>3</v>
      </c>
    </row>
    <row r="2" spans="1:14" x14ac:dyDescent="0.25">
      <c r="A2" t="s">
        <v>6</v>
      </c>
      <c r="B2" t="s">
        <v>11</v>
      </c>
      <c r="C2">
        <v>25</v>
      </c>
      <c r="D2">
        <v>3</v>
      </c>
      <c r="E2">
        <v>500</v>
      </c>
      <c r="F2" t="s">
        <v>14</v>
      </c>
      <c r="G2" t="s">
        <v>17</v>
      </c>
      <c r="I2" t="s">
        <v>20</v>
      </c>
      <c r="J2">
        <f>COUNTIF(G2:G6,"yes")</f>
        <v>3</v>
      </c>
      <c r="N2">
        <f>COUNTIF(G:G,"No")</f>
        <v>2</v>
      </c>
    </row>
    <row r="3" spans="1:14" x14ac:dyDescent="0.25">
      <c r="A3" t="s">
        <v>7</v>
      </c>
      <c r="B3" t="s">
        <v>12</v>
      </c>
      <c r="C3">
        <v>40</v>
      </c>
      <c r="D3">
        <v>24</v>
      </c>
      <c r="E3">
        <v>1200</v>
      </c>
      <c r="F3" t="s">
        <v>15</v>
      </c>
      <c r="G3" t="s">
        <v>18</v>
      </c>
      <c r="I3" t="s">
        <v>21</v>
      </c>
      <c r="J3">
        <f>(COUNTIF(G2:G6,"yes")/COUNTA(A2:A6))*100</f>
        <v>60</v>
      </c>
    </row>
    <row r="4" spans="1:14" x14ac:dyDescent="0.25">
      <c r="A4" t="s">
        <v>8</v>
      </c>
      <c r="B4" t="s">
        <v>11</v>
      </c>
      <c r="C4">
        <v>30</v>
      </c>
      <c r="D4">
        <v>6</v>
      </c>
      <c r="E4">
        <v>700</v>
      </c>
      <c r="F4" t="s">
        <v>14</v>
      </c>
      <c r="G4" t="s">
        <v>17</v>
      </c>
      <c r="I4" t="s">
        <v>22</v>
      </c>
      <c r="J4" t="s">
        <v>14</v>
      </c>
      <c r="L4">
        <f>COUNTIFS(F:F,"month to month",G:G,"Yes")</f>
        <v>3</v>
      </c>
    </row>
    <row r="5" spans="1:14" x14ac:dyDescent="0.25">
      <c r="A5" t="s">
        <v>9</v>
      </c>
      <c r="B5" t="s">
        <v>12</v>
      </c>
      <c r="C5">
        <v>50</v>
      </c>
      <c r="D5">
        <v>36</v>
      </c>
      <c r="E5">
        <v>1500</v>
      </c>
      <c r="F5" t="s">
        <v>16</v>
      </c>
      <c r="G5" t="s">
        <v>18</v>
      </c>
      <c r="J5" t="s">
        <v>15</v>
      </c>
      <c r="L5">
        <f>COUNTIFS(F:F,"one year",G:G,"Yes")</f>
        <v>0</v>
      </c>
    </row>
    <row r="6" spans="1:14" x14ac:dyDescent="0.25">
      <c r="A6" t="s">
        <v>10</v>
      </c>
      <c r="B6" t="s">
        <v>11</v>
      </c>
      <c r="C6">
        <v>28</v>
      </c>
      <c r="D6">
        <v>2</v>
      </c>
      <c r="E6">
        <v>400</v>
      </c>
      <c r="F6" t="s">
        <v>14</v>
      </c>
      <c r="G6" t="s">
        <v>17</v>
      </c>
      <c r="J6" t="s">
        <v>16</v>
      </c>
      <c r="L6">
        <f>COUNTIFS(F:F,"two year",G:G,"Yes")</f>
        <v>0</v>
      </c>
    </row>
    <row r="17" spans="9:9" x14ac:dyDescent="0.25">
      <c r="I17" t="s">
        <v>23</v>
      </c>
    </row>
    <row r="18" spans="9:9" x14ac:dyDescent="0.25">
      <c r="I18" t="s">
        <v>24</v>
      </c>
    </row>
    <row r="19" spans="9:9" x14ac:dyDescent="0.25">
      <c r="I19" t="s">
        <v>25</v>
      </c>
    </row>
    <row r="20" spans="9:9" x14ac:dyDescent="0.25">
      <c r="I20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2026-02-22T09:28:26Z</dcterms:created>
  <dcterms:modified xsi:type="dcterms:W3CDTF">2026-02-22T11:04:28Z</dcterms:modified>
</cp:coreProperties>
</file>